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ijeshluckria/Desktop/GIT/HomeDIY/Health/"/>
    </mc:Choice>
  </mc:AlternateContent>
  <xr:revisionPtr revIDLastSave="0" documentId="13_ncr:1_{B29AC964-A0AE-8D48-A6F9-490218841E3F}" xr6:coauthVersionLast="47" xr6:coauthVersionMax="47" xr10:uidLastSave="{00000000-0000-0000-0000-000000000000}"/>
  <bookViews>
    <workbookView xWindow="0" yWindow="660" windowWidth="29400" windowHeight="16660" activeTab="5" xr2:uid="{A6D84EA6-F4DC-7548-9AEA-7DB3B0B2FF87}"/>
  </bookViews>
  <sheets>
    <sheet name="Week-1-Daily Diet" sheetId="1" r:id="rId1"/>
    <sheet name="Week-2-Daily Diet" sheetId="5" r:id="rId2"/>
    <sheet name="Week-3-Daily Diet" sheetId="6" r:id="rId3"/>
    <sheet name="Suppliment" sheetId="7" r:id="rId4"/>
    <sheet name="Calculation" sheetId="2" r:id="rId5"/>
    <sheet name="Progress" sheetId="9" r:id="rId6"/>
    <sheet name="Rules" sheetId="4" r:id="rId7"/>
    <sheet name="Reason for not loosing Fat1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9" l="1"/>
  <c r="D4" i="9"/>
</calcChain>
</file>

<file path=xl/sharedStrings.xml><?xml version="1.0" encoding="utf-8"?>
<sst xmlns="http://schemas.openxmlformats.org/spreadsheetml/2006/main" count="194" uniqueCount="136">
  <si>
    <t>Time</t>
  </si>
  <si>
    <t>Food</t>
  </si>
  <si>
    <t xml:space="preserve">Large cappuccino </t>
  </si>
  <si>
    <t>Green Tea</t>
  </si>
  <si>
    <t>Lunch</t>
  </si>
  <si>
    <t>Chia seeds Pudding</t>
  </si>
  <si>
    <t>Dinner</t>
  </si>
  <si>
    <t>Zero Caloires</t>
  </si>
  <si>
    <t>Food Content</t>
  </si>
  <si>
    <t>Calories</t>
  </si>
  <si>
    <t>Protein</t>
  </si>
  <si>
    <t>Carbs</t>
  </si>
  <si>
    <t>Fat</t>
  </si>
  <si>
    <t>Fiber</t>
  </si>
  <si>
    <t xml:space="preserve">250 gram Stake + 200 Grams of cooked Beans + 50 gram avacado </t>
  </si>
  <si>
    <t>160 kcal</t>
  </si>
  <si>
    <t>1 Cup Whole Milk Yogurt (240 g)</t>
  </si>
  <si>
    <t>1 Cup Whole Milk (240 g / 240 ml)</t>
  </si>
  <si>
    <t>250 kcal</t>
  </si>
  <si>
    <t xml:space="preserve">420 kcal </t>
  </si>
  <si>
    <t>200 g Cooked Chicken Thigh (Skinless)</t>
  </si>
  <si>
    <t>200 g Cooked Beef Steak Ribeye (fattier)</t>
  </si>
  <si>
    <t>100 g Cooked Rice</t>
  </si>
  <si>
    <t>130 kcal</t>
  </si>
  <si>
    <t>600 kcal</t>
  </si>
  <si>
    <t>200 g Cooked Chicken Breast</t>
  </si>
  <si>
    <t>330 kcal</t>
  </si>
  <si>
    <t>1 large Egg</t>
  </si>
  <si>
    <t>70 kcal</t>
  </si>
  <si>
    <t>1 Tbsp Chia Seeds (~12 g)</t>
  </si>
  <si>
    <t>100 kcal</t>
  </si>
  <si>
    <t>1 Medium Apple</t>
  </si>
  <si>
    <t>1 Medium Avacado</t>
  </si>
  <si>
    <t>240 kcal</t>
  </si>
  <si>
    <t>1  Tbsp Hulled Pumpkin Seeds (~10 g)</t>
  </si>
  <si>
    <t>56 kcal</t>
  </si>
  <si>
    <t>60 kcal</t>
  </si>
  <si>
    <t>200 g Cooked Beans (Rajma)</t>
  </si>
  <si>
    <t>1 Scoop Whey Protein (~30 g)</t>
  </si>
  <si>
    <t>120 kcal</t>
  </si>
  <si>
    <t>Meats &amp; Eggs</t>
  </si>
  <si>
    <t>1 Cup  Whole Milk</t>
  </si>
  <si>
    <t>Grains &amp; Legumes &amp; Lentils</t>
  </si>
  <si>
    <t>Dairy &amp; Protein</t>
  </si>
  <si>
    <t>Ghee and Oil</t>
  </si>
  <si>
    <t xml:space="preserve">Fruits, Vegitables and Seeds </t>
  </si>
  <si>
    <t>328 kcal</t>
  </si>
  <si>
    <t>200 g Cooked Beans (Lobia) (Black-Eyed Peas)</t>
  </si>
  <si>
    <t>232 kcal</t>
  </si>
  <si>
    <t>200 g Cooked Beans (Chole/ Chana) (Chickpeas)</t>
  </si>
  <si>
    <t>200 g Cooked Toor Dal (Arhar)</t>
  </si>
  <si>
    <t>1/2 Cup  Whole Milk</t>
  </si>
  <si>
    <t>Fried Rice - ( 100 g cooked rice + 2 Cup Vegitables + 4 Eggs + 100 Grams of Chicken + 1 spoon Ghee)</t>
  </si>
  <si>
    <t>240 gram whole milk yougurt + 1 Spoon Chia Seeds + 1 Spoon pumpkin Seeds + 1 Apple + 1 Scoop Whey Protein</t>
  </si>
  <si>
    <t>Lunch - Option-1</t>
  </si>
  <si>
    <t xml:space="preserve">150 g Vegetables </t>
  </si>
  <si>
    <t>75 kcal</t>
  </si>
  <si>
    <t>Evening Snack - Chia seeds Pudding-1</t>
  </si>
  <si>
    <t xml:space="preserve">100 g blueberries </t>
  </si>
  <si>
    <t>57 kcal</t>
  </si>
  <si>
    <t xml:space="preserve">2 Cup Vegitables </t>
  </si>
  <si>
    <t>70 g Avacado Pulp</t>
  </si>
  <si>
    <t>1 Scoop Whey Protein</t>
  </si>
  <si>
    <t xml:space="preserve">1 tbsp Chia Seeds </t>
  </si>
  <si>
    <t>1 tbsp pumpkin Seeds</t>
  </si>
  <si>
    <t>200 g sweet potatos</t>
  </si>
  <si>
    <t>180 kcal</t>
  </si>
  <si>
    <t>174 kcal</t>
  </si>
  <si>
    <t>1 Large Egg White</t>
  </si>
  <si>
    <t>17 kcal</t>
  </si>
  <si>
    <t>230 kcal</t>
  </si>
  <si>
    <t>200 g of cooked Beans</t>
  </si>
  <si>
    <t>200 g  potatos</t>
  </si>
  <si>
    <t>200 g mushrooms</t>
  </si>
  <si>
    <t>1/2 Spoon Ghree</t>
  </si>
  <si>
    <t xml:space="preserve">Cappuccino </t>
  </si>
  <si>
    <t xml:space="preserve">2 Boiled Eggs  </t>
  </si>
  <si>
    <t>Before Sleep</t>
  </si>
  <si>
    <t>50 g cooked Rice</t>
  </si>
  <si>
    <t>6 Egg White</t>
  </si>
  <si>
    <t>Bread</t>
  </si>
  <si>
    <t>1 Slice of Bread</t>
  </si>
  <si>
    <t>1 Medium Guava (~180 g edible)</t>
  </si>
  <si>
    <t>170g whole milk yougurt</t>
  </si>
  <si>
    <t xml:space="preserve">70 g blueberries </t>
  </si>
  <si>
    <t>Notes</t>
  </si>
  <si>
    <t>200 g Cooked New York Strip Steak (fattier)</t>
  </si>
  <si>
    <t>560 kcal</t>
  </si>
  <si>
    <t xml:space="preserve">Rules for next 6 months - </t>
  </si>
  <si>
    <t>How to Keep the insulin Low</t>
  </si>
  <si>
    <t>How to be in calories deficit</t>
  </si>
  <si>
    <t xml:space="preserve">1/ Don’t Eat outside food becuase its hard to measure calories                                                                                                                                              2/ Measure your calories                                                                         </t>
  </si>
  <si>
    <t xml:space="preserve">1/ Don’t eat anything which has added Sugar                                                                                                     2/ Don’t Eat food before 12pm and after 8pm                                                                                                      3/ Eat only 3 times in a day     (Hunger is just a sensation, you need not to address it)                                 </t>
  </si>
  <si>
    <t>Keep insulin low, stay in a calorie deficit, and don't lose muscle.</t>
  </si>
  <si>
    <t>Don't lose muscle</t>
  </si>
  <si>
    <t xml:space="preserve">1/ 150 g of protein daily                                                                                                                                                      2/ Do resistence training. </t>
  </si>
  <si>
    <t>Seeds and Nuts</t>
  </si>
  <si>
    <t>Bhuna Chana (~30 g)</t>
  </si>
  <si>
    <t>115 kcal</t>
  </si>
  <si>
    <t>196 kcal</t>
  </si>
  <si>
    <t>168 kcal</t>
  </si>
  <si>
    <t>Almonds (~30 g)</t>
  </si>
  <si>
    <t>Walnuts (~30 g)</t>
  </si>
  <si>
    <t>Pistachios (~30 g)</t>
  </si>
  <si>
    <t>120 g boiled potato</t>
  </si>
  <si>
    <t>1/2 Spoon olive oil</t>
  </si>
  <si>
    <t>1 tbsp Ghee (13 g)</t>
  </si>
  <si>
    <t>1 tbsp olive oil (13 g)</t>
  </si>
  <si>
    <t>Walnuts (~10 g)</t>
  </si>
  <si>
    <t>Omega-3 (critical)</t>
  </si>
  <si>
    <t>Vitamin D</t>
  </si>
  <si>
    <t>Iodine</t>
  </si>
  <si>
    <t>Magnesium (performance upgrade)</t>
  </si>
  <si>
    <t>After Lunch</t>
  </si>
  <si>
    <t>Bed Time</t>
  </si>
  <si>
    <t>Throughout the day</t>
  </si>
  <si>
    <t>Zinc</t>
  </si>
  <si>
    <t>Creatine 5 g</t>
  </si>
  <si>
    <t>electrolyte or salt water</t>
  </si>
  <si>
    <t>During workout</t>
  </si>
  <si>
    <t>200 g Salmon (Atlantic)</t>
  </si>
  <si>
    <t>200 g Tuna (light/yellowfin)</t>
  </si>
  <si>
    <t>416 kcal</t>
  </si>
  <si>
    <t>264 kcal</t>
  </si>
  <si>
    <t>1/2 Spoon Olive oIl</t>
  </si>
  <si>
    <t xml:space="preserve">At least 150g </t>
  </si>
  <si>
    <t>Callores deficit Error</t>
  </si>
  <si>
    <t>Lquiid Cal (Oil / Ghee)</t>
  </si>
  <si>
    <t>Very low NEAT - (Non Exercise Activity Thermogenesis)</t>
  </si>
  <si>
    <t xml:space="preserve">Weekend Eating and Snacks Eating </t>
  </si>
  <si>
    <t>Total Weight</t>
  </si>
  <si>
    <t>Body Fat %</t>
  </si>
  <si>
    <t>Body Fat Weigh</t>
  </si>
  <si>
    <t>Lean Weight</t>
  </si>
  <si>
    <t>Results</t>
  </si>
  <si>
    <t>Goal - 15th 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</si>
</sst>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8" fontId="0" fillId="0" borderId="0" xfId="0" applyNumberFormat="1"/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horizontal="center"/>
    </xf>
    <xf numFmtId="16" fontId="1" fillId="0" borderId="0" xfId="0" applyNumberFormat="1" applyFont="1"/>
    <xf numFmtId="0" fontId="1" fillId="0" borderId="0" xfId="0" applyFont="1" applyAlignment="1">
      <alignment horizontal="center"/>
    </xf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F9F90-D74A-1B42-A12D-8A22D118CA80}">
  <dimension ref="A1:H7"/>
  <sheetViews>
    <sheetView workbookViewId="0">
      <selection activeCell="D4" sqref="D4"/>
    </sheetView>
  </sheetViews>
  <sheetFormatPr baseColWidth="10" defaultRowHeight="16" x14ac:dyDescent="0.2"/>
  <cols>
    <col min="1" max="1" width="22" customWidth="1"/>
    <col min="2" max="2" width="25.33203125" customWidth="1"/>
    <col min="3" max="3" width="42.1640625" style="2" customWidth="1"/>
    <col min="4" max="4" width="27" customWidth="1"/>
    <col min="5" max="5" width="19.1640625" customWidth="1"/>
    <col min="6" max="6" width="19" customWidth="1"/>
    <col min="7" max="7" width="17.1640625" customWidth="1"/>
    <col min="8" max="8" width="19.33203125" customWidth="1"/>
  </cols>
  <sheetData>
    <row r="1" spans="1:8" ht="17" x14ac:dyDescent="0.2">
      <c r="A1" s="3" t="s">
        <v>0</v>
      </c>
      <c r="B1" s="3" t="s">
        <v>1</v>
      </c>
      <c r="C1" s="4" t="s">
        <v>8</v>
      </c>
      <c r="D1" s="3" t="s">
        <v>9</v>
      </c>
      <c r="E1" s="3" t="s">
        <v>10</v>
      </c>
      <c r="F1" s="3" t="s">
        <v>11</v>
      </c>
      <c r="G1" s="3" t="s">
        <v>12</v>
      </c>
      <c r="H1" s="3" t="s">
        <v>13</v>
      </c>
    </row>
    <row r="2" spans="1:8" ht="17" x14ac:dyDescent="0.2">
      <c r="A2" s="1">
        <v>0.33333333333333331</v>
      </c>
      <c r="B2" t="s">
        <v>2</v>
      </c>
      <c r="C2" s="2" t="s">
        <v>41</v>
      </c>
      <c r="D2">
        <v>160</v>
      </c>
      <c r="E2">
        <v>8</v>
      </c>
      <c r="F2">
        <v>12</v>
      </c>
      <c r="G2">
        <v>8</v>
      </c>
      <c r="H2">
        <v>0</v>
      </c>
    </row>
    <row r="3" spans="1:8" ht="17" x14ac:dyDescent="0.2">
      <c r="A3" s="1">
        <v>0.41666666666666669</v>
      </c>
      <c r="B3" t="s">
        <v>3</v>
      </c>
      <c r="C3" s="2" t="s">
        <v>7</v>
      </c>
      <c r="D3">
        <v>0</v>
      </c>
      <c r="E3">
        <v>0</v>
      </c>
      <c r="F3">
        <v>0</v>
      </c>
      <c r="G3">
        <v>0</v>
      </c>
      <c r="H3">
        <v>0</v>
      </c>
    </row>
    <row r="4" spans="1:8" ht="118" customHeight="1" x14ac:dyDescent="0.2">
      <c r="A4" s="1">
        <v>0.52083333333333337</v>
      </c>
      <c r="B4" t="s">
        <v>4</v>
      </c>
      <c r="C4" s="2" t="s">
        <v>52</v>
      </c>
      <c r="D4">
        <v>825</v>
      </c>
      <c r="E4">
        <v>55</v>
      </c>
      <c r="F4">
        <v>45</v>
      </c>
      <c r="G4">
        <v>46</v>
      </c>
      <c r="H4">
        <v>5</v>
      </c>
    </row>
    <row r="5" spans="1:8" ht="17" x14ac:dyDescent="0.2">
      <c r="A5" s="1">
        <v>0.66666666666666663</v>
      </c>
      <c r="B5" t="s">
        <v>3</v>
      </c>
      <c r="C5" s="2" t="s">
        <v>7</v>
      </c>
      <c r="D5">
        <v>0</v>
      </c>
      <c r="E5">
        <v>0</v>
      </c>
      <c r="F5">
        <v>0</v>
      </c>
      <c r="G5">
        <v>0</v>
      </c>
      <c r="H5">
        <v>0</v>
      </c>
    </row>
    <row r="6" spans="1:8" ht="51" x14ac:dyDescent="0.2">
      <c r="A6" s="1">
        <v>0.75</v>
      </c>
      <c r="B6" t="s">
        <v>5</v>
      </c>
      <c r="C6" s="2" t="s">
        <v>53</v>
      </c>
      <c r="D6">
        <v>450</v>
      </c>
      <c r="E6">
        <v>35</v>
      </c>
      <c r="F6">
        <v>38</v>
      </c>
      <c r="G6">
        <v>13</v>
      </c>
      <c r="H6">
        <v>6</v>
      </c>
    </row>
    <row r="7" spans="1:8" ht="34" x14ac:dyDescent="0.2">
      <c r="A7" s="1">
        <v>0.85416666666666663</v>
      </c>
      <c r="B7" t="s">
        <v>6</v>
      </c>
      <c r="C7" s="2" t="s">
        <v>14</v>
      </c>
      <c r="D7">
        <v>950</v>
      </c>
      <c r="E7">
        <v>83</v>
      </c>
      <c r="F7">
        <v>50</v>
      </c>
      <c r="G7">
        <v>50</v>
      </c>
      <c r="H7">
        <v>17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BAB6E-FFA9-FD40-8C26-6E9A63FE69C5}">
  <dimension ref="A1:I26"/>
  <sheetViews>
    <sheetView workbookViewId="0">
      <selection activeCell="D2" sqref="D2:D20"/>
    </sheetView>
  </sheetViews>
  <sheetFormatPr baseColWidth="10" defaultRowHeight="16" x14ac:dyDescent="0.2"/>
  <cols>
    <col min="1" max="1" width="20.6640625" customWidth="1"/>
    <col min="2" max="2" width="37.33203125" customWidth="1"/>
    <col min="3" max="3" width="41.33203125" customWidth="1"/>
    <col min="9" max="9" width="40.5" customWidth="1"/>
  </cols>
  <sheetData>
    <row r="1" spans="1:9" ht="17" x14ac:dyDescent="0.2">
      <c r="A1" s="3" t="s">
        <v>0</v>
      </c>
      <c r="B1" s="3" t="s">
        <v>1</v>
      </c>
      <c r="C1" s="4" t="s">
        <v>8</v>
      </c>
      <c r="D1" s="3" t="s">
        <v>9</v>
      </c>
      <c r="E1" s="3" t="s">
        <v>10</v>
      </c>
      <c r="F1" s="3" t="s">
        <v>11</v>
      </c>
      <c r="G1" s="3" t="s">
        <v>12</v>
      </c>
      <c r="H1" s="3" t="s">
        <v>13</v>
      </c>
      <c r="I1" s="3" t="s">
        <v>85</v>
      </c>
    </row>
    <row r="2" spans="1:9" ht="34" x14ac:dyDescent="0.2">
      <c r="A2" s="1">
        <v>0.33333333333333331</v>
      </c>
      <c r="B2" t="s">
        <v>75</v>
      </c>
      <c r="C2" s="2" t="s">
        <v>51</v>
      </c>
      <c r="D2">
        <v>80</v>
      </c>
      <c r="E2">
        <v>4</v>
      </c>
      <c r="F2">
        <v>6</v>
      </c>
      <c r="G2">
        <v>4</v>
      </c>
      <c r="H2">
        <v>0</v>
      </c>
    </row>
    <row r="3" spans="1:9" x14ac:dyDescent="0.2">
      <c r="A3" s="1"/>
      <c r="C3" s="2"/>
    </row>
    <row r="4" spans="1:9" ht="17" x14ac:dyDescent="0.2">
      <c r="A4" s="1">
        <v>0.52083333333333337</v>
      </c>
      <c r="B4" t="s">
        <v>54</v>
      </c>
      <c r="C4" s="2" t="s">
        <v>76</v>
      </c>
      <c r="D4">
        <v>140</v>
      </c>
      <c r="E4">
        <v>12</v>
      </c>
      <c r="F4">
        <v>1</v>
      </c>
      <c r="G4">
        <v>10</v>
      </c>
      <c r="H4">
        <v>0</v>
      </c>
    </row>
    <row r="5" spans="1:9" ht="17" x14ac:dyDescent="0.2">
      <c r="A5" s="1"/>
      <c r="C5" s="2" t="s">
        <v>79</v>
      </c>
      <c r="D5">
        <v>102</v>
      </c>
      <c r="E5">
        <v>22</v>
      </c>
      <c r="F5">
        <v>2</v>
      </c>
      <c r="G5">
        <v>0</v>
      </c>
      <c r="H5">
        <v>0</v>
      </c>
    </row>
    <row r="6" spans="1:9" ht="17" x14ac:dyDescent="0.2">
      <c r="A6" s="1"/>
      <c r="C6" s="2" t="s">
        <v>78</v>
      </c>
      <c r="D6">
        <v>65</v>
      </c>
      <c r="E6">
        <v>1.2</v>
      </c>
      <c r="F6">
        <v>14</v>
      </c>
      <c r="G6">
        <v>0.1</v>
      </c>
      <c r="H6">
        <v>0.1</v>
      </c>
    </row>
    <row r="7" spans="1:9" ht="17" x14ac:dyDescent="0.2">
      <c r="A7" s="1"/>
      <c r="C7" s="2" t="s">
        <v>60</v>
      </c>
      <c r="D7">
        <v>80</v>
      </c>
      <c r="E7">
        <v>4</v>
      </c>
      <c r="F7">
        <v>16</v>
      </c>
      <c r="G7">
        <v>0</v>
      </c>
      <c r="H7">
        <v>6</v>
      </c>
    </row>
    <row r="8" spans="1:9" ht="17" x14ac:dyDescent="0.2">
      <c r="A8" s="1"/>
      <c r="C8" s="2" t="s">
        <v>124</v>
      </c>
      <c r="D8">
        <v>60</v>
      </c>
      <c r="E8">
        <v>0</v>
      </c>
      <c r="F8">
        <v>0</v>
      </c>
      <c r="G8">
        <v>7</v>
      </c>
      <c r="H8">
        <v>0</v>
      </c>
    </row>
    <row r="9" spans="1:9" x14ac:dyDescent="0.2">
      <c r="A9" s="1"/>
      <c r="C9" s="2"/>
    </row>
    <row r="10" spans="1:9" x14ac:dyDescent="0.2">
      <c r="A10" s="1"/>
      <c r="C10" s="2"/>
    </row>
    <row r="11" spans="1:9" ht="17" x14ac:dyDescent="0.2">
      <c r="A11" s="1">
        <v>0.66666666666666663</v>
      </c>
      <c r="B11" t="s">
        <v>57</v>
      </c>
      <c r="C11" s="2" t="s">
        <v>83</v>
      </c>
      <c r="D11">
        <v>120</v>
      </c>
      <c r="E11">
        <v>6</v>
      </c>
      <c r="F11">
        <v>8</v>
      </c>
      <c r="G11">
        <v>7</v>
      </c>
      <c r="H11">
        <v>0</v>
      </c>
    </row>
    <row r="12" spans="1:9" ht="17" x14ac:dyDescent="0.2">
      <c r="A12" s="1"/>
      <c r="C12" s="2" t="s">
        <v>63</v>
      </c>
      <c r="D12">
        <v>60</v>
      </c>
      <c r="E12">
        <v>2</v>
      </c>
      <c r="F12">
        <v>5</v>
      </c>
      <c r="G12">
        <v>4</v>
      </c>
      <c r="H12">
        <v>5</v>
      </c>
    </row>
    <row r="13" spans="1:9" ht="17" x14ac:dyDescent="0.2">
      <c r="A13" s="1"/>
      <c r="C13" s="2" t="s">
        <v>64</v>
      </c>
      <c r="D13">
        <v>60</v>
      </c>
      <c r="E13">
        <v>3</v>
      </c>
      <c r="F13">
        <v>1.5</v>
      </c>
      <c r="G13">
        <v>4.7</v>
      </c>
      <c r="H13">
        <v>0.6</v>
      </c>
    </row>
    <row r="14" spans="1:9" x14ac:dyDescent="0.2">
      <c r="A14" s="1"/>
      <c r="C14" t="s">
        <v>84</v>
      </c>
      <c r="D14">
        <v>35</v>
      </c>
      <c r="E14">
        <v>0.5</v>
      </c>
      <c r="F14">
        <v>8.5</v>
      </c>
      <c r="G14">
        <v>0</v>
      </c>
      <c r="H14">
        <v>2</v>
      </c>
    </row>
    <row r="15" spans="1:9" x14ac:dyDescent="0.2">
      <c r="A15" s="1"/>
      <c r="C15" s="2" t="s">
        <v>62</v>
      </c>
      <c r="D15">
        <v>120</v>
      </c>
      <c r="E15">
        <v>24</v>
      </c>
      <c r="F15">
        <v>3</v>
      </c>
      <c r="G15">
        <v>1.5</v>
      </c>
      <c r="H15">
        <v>0</v>
      </c>
    </row>
    <row r="16" spans="1:9" x14ac:dyDescent="0.2">
      <c r="A16" s="1"/>
      <c r="C16" s="2"/>
    </row>
    <row r="17" spans="1:8" x14ac:dyDescent="0.2">
      <c r="A17" s="1"/>
      <c r="C17" s="2"/>
    </row>
    <row r="18" spans="1:8" x14ac:dyDescent="0.2">
      <c r="A18" s="1">
        <v>0.85416666666666663</v>
      </c>
      <c r="B18" t="s">
        <v>6</v>
      </c>
      <c r="C18" t="s">
        <v>20</v>
      </c>
      <c r="D18">
        <v>420</v>
      </c>
      <c r="E18">
        <v>52</v>
      </c>
      <c r="F18">
        <v>0</v>
      </c>
      <c r="G18">
        <v>22</v>
      </c>
      <c r="H18">
        <v>0</v>
      </c>
    </row>
    <row r="19" spans="1:8" x14ac:dyDescent="0.2">
      <c r="C19" t="s">
        <v>71</v>
      </c>
      <c r="D19">
        <v>250</v>
      </c>
      <c r="E19">
        <v>17</v>
      </c>
      <c r="F19">
        <v>46</v>
      </c>
      <c r="G19">
        <v>1</v>
      </c>
      <c r="H19">
        <v>13</v>
      </c>
    </row>
    <row r="20" spans="1:8" ht="17" x14ac:dyDescent="0.2">
      <c r="C20" s="2" t="s">
        <v>74</v>
      </c>
      <c r="D20">
        <v>60</v>
      </c>
      <c r="E20">
        <v>0</v>
      </c>
      <c r="F20">
        <v>0</v>
      </c>
      <c r="G20">
        <v>7</v>
      </c>
      <c r="H20">
        <v>0</v>
      </c>
    </row>
    <row r="21" spans="1:8" x14ac:dyDescent="0.2">
      <c r="C21" s="2"/>
    </row>
    <row r="22" spans="1:8" x14ac:dyDescent="0.2">
      <c r="A22" s="1"/>
      <c r="C22" s="2"/>
    </row>
    <row r="23" spans="1:8" x14ac:dyDescent="0.2">
      <c r="A23" s="1"/>
      <c r="C23" s="2"/>
    </row>
    <row r="24" spans="1:8" x14ac:dyDescent="0.2">
      <c r="A24" s="1"/>
      <c r="C24" s="2"/>
    </row>
    <row r="25" spans="1:8" x14ac:dyDescent="0.2">
      <c r="C25" t="s">
        <v>65</v>
      </c>
      <c r="D25">
        <v>180</v>
      </c>
      <c r="E25">
        <v>4</v>
      </c>
      <c r="F25">
        <v>42</v>
      </c>
      <c r="G25">
        <v>0.2</v>
      </c>
      <c r="H25">
        <v>6</v>
      </c>
    </row>
    <row r="26" spans="1:8" ht="17" x14ac:dyDescent="0.2">
      <c r="C26" s="2" t="s">
        <v>61</v>
      </c>
      <c r="D26">
        <v>110</v>
      </c>
      <c r="E26">
        <v>1.4</v>
      </c>
      <c r="F26">
        <v>6</v>
      </c>
      <c r="G26">
        <v>10.5</v>
      </c>
      <c r="H26">
        <v>4.7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24C4A-ED93-F042-9A75-140BC735FB9F}">
  <dimension ref="A1:I29"/>
  <sheetViews>
    <sheetView workbookViewId="0">
      <selection activeCell="C19" sqref="C19"/>
    </sheetView>
  </sheetViews>
  <sheetFormatPr baseColWidth="10" defaultRowHeight="16" x14ac:dyDescent="0.2"/>
  <cols>
    <col min="1" max="1" width="20" customWidth="1"/>
    <col min="2" max="2" width="28.33203125" customWidth="1"/>
    <col min="3" max="3" width="57" customWidth="1"/>
  </cols>
  <sheetData>
    <row r="1" spans="1:9" ht="34" x14ac:dyDescent="0.2">
      <c r="A1" s="3" t="s">
        <v>0</v>
      </c>
      <c r="B1" s="3" t="s">
        <v>1</v>
      </c>
      <c r="C1" s="4" t="s">
        <v>8</v>
      </c>
      <c r="D1" s="3" t="s">
        <v>9</v>
      </c>
      <c r="E1" s="3" t="s">
        <v>10</v>
      </c>
      <c r="F1" s="3" t="s">
        <v>11</v>
      </c>
      <c r="G1" s="3" t="s">
        <v>12</v>
      </c>
      <c r="H1" s="3" t="s">
        <v>13</v>
      </c>
      <c r="I1" s="3" t="s">
        <v>85</v>
      </c>
    </row>
    <row r="2" spans="1:9" ht="34" x14ac:dyDescent="0.2">
      <c r="A2" s="1">
        <v>0.33333333333333331</v>
      </c>
      <c r="B2" t="s">
        <v>75</v>
      </c>
      <c r="C2" s="2" t="s">
        <v>51</v>
      </c>
      <c r="D2">
        <v>80</v>
      </c>
      <c r="E2">
        <v>4</v>
      </c>
      <c r="F2">
        <v>6</v>
      </c>
      <c r="G2">
        <v>4</v>
      </c>
      <c r="H2">
        <v>0</v>
      </c>
    </row>
    <row r="3" spans="1:9" ht="17" x14ac:dyDescent="0.2">
      <c r="A3" s="1"/>
      <c r="C3" s="2" t="s">
        <v>62</v>
      </c>
      <c r="D3">
        <v>120</v>
      </c>
      <c r="E3">
        <v>24</v>
      </c>
      <c r="F3">
        <v>3</v>
      </c>
      <c r="G3">
        <v>1.5</v>
      </c>
      <c r="H3">
        <v>0</v>
      </c>
    </row>
    <row r="4" spans="1:9" x14ac:dyDescent="0.2">
      <c r="A4" s="1"/>
      <c r="C4" s="2"/>
    </row>
    <row r="5" spans="1:9" ht="17" x14ac:dyDescent="0.2">
      <c r="A5" s="1">
        <v>0.52083333333333337</v>
      </c>
      <c r="B5" t="s">
        <v>54</v>
      </c>
      <c r="C5" s="2" t="s">
        <v>76</v>
      </c>
      <c r="D5">
        <v>140</v>
      </c>
      <c r="E5">
        <v>12</v>
      </c>
      <c r="F5">
        <v>1</v>
      </c>
      <c r="G5">
        <v>10</v>
      </c>
      <c r="H5">
        <v>0</v>
      </c>
    </row>
    <row r="6" spans="1:9" ht="17" x14ac:dyDescent="0.2">
      <c r="A6" s="1"/>
      <c r="C6" s="2" t="s">
        <v>79</v>
      </c>
      <c r="D6">
        <v>102</v>
      </c>
      <c r="E6">
        <v>22</v>
      </c>
      <c r="F6">
        <v>2</v>
      </c>
      <c r="G6">
        <v>0</v>
      </c>
      <c r="H6">
        <v>0</v>
      </c>
    </row>
    <row r="7" spans="1:9" x14ac:dyDescent="0.2">
      <c r="A7" s="1"/>
      <c r="C7" t="s">
        <v>104</v>
      </c>
      <c r="D7">
        <v>100</v>
      </c>
      <c r="E7">
        <v>2.5</v>
      </c>
      <c r="F7">
        <v>24</v>
      </c>
      <c r="G7">
        <v>2.2000000000000002</v>
      </c>
      <c r="H7">
        <v>0.1</v>
      </c>
    </row>
    <row r="8" spans="1:9" ht="17" x14ac:dyDescent="0.2">
      <c r="A8" s="1"/>
      <c r="C8" s="2" t="s">
        <v>60</v>
      </c>
      <c r="D8">
        <v>80</v>
      </c>
      <c r="E8">
        <v>4</v>
      </c>
      <c r="F8">
        <v>16</v>
      </c>
      <c r="G8">
        <v>0</v>
      </c>
      <c r="H8">
        <v>6</v>
      </c>
    </row>
    <row r="9" spans="1:9" ht="17" x14ac:dyDescent="0.2">
      <c r="A9" s="1"/>
      <c r="C9" s="2" t="s">
        <v>105</v>
      </c>
      <c r="D9">
        <v>60</v>
      </c>
      <c r="E9">
        <v>0</v>
      </c>
      <c r="F9">
        <v>0</v>
      </c>
      <c r="G9">
        <v>7</v>
      </c>
      <c r="H9">
        <v>0</v>
      </c>
    </row>
    <row r="10" spans="1:9" x14ac:dyDescent="0.2">
      <c r="A10" s="1"/>
      <c r="C10" s="2"/>
    </row>
    <row r="11" spans="1:9" x14ac:dyDescent="0.2">
      <c r="A11" s="1"/>
      <c r="C11" s="2"/>
    </row>
    <row r="12" spans="1:9" ht="34" x14ac:dyDescent="0.2">
      <c r="A12" s="1">
        <v>0.66666666666666663</v>
      </c>
      <c r="B12" t="s">
        <v>57</v>
      </c>
      <c r="C12" s="2" t="s">
        <v>83</v>
      </c>
      <c r="D12">
        <v>120</v>
      </c>
      <c r="E12">
        <v>6</v>
      </c>
      <c r="F12">
        <v>8</v>
      </c>
      <c r="G12">
        <v>7</v>
      </c>
      <c r="H12">
        <v>0</v>
      </c>
    </row>
    <row r="13" spans="1:9" ht="17" x14ac:dyDescent="0.2">
      <c r="A13" s="1"/>
      <c r="C13" s="2" t="s">
        <v>63</v>
      </c>
      <c r="D13">
        <v>60</v>
      </c>
      <c r="E13">
        <v>2</v>
      </c>
      <c r="F13">
        <v>5</v>
      </c>
      <c r="G13">
        <v>4</v>
      </c>
      <c r="H13">
        <v>5</v>
      </c>
    </row>
    <row r="14" spans="1:9" ht="17" x14ac:dyDescent="0.2">
      <c r="A14" s="1"/>
      <c r="C14" s="2" t="s">
        <v>64</v>
      </c>
      <c r="D14">
        <v>60</v>
      </c>
      <c r="E14">
        <v>3</v>
      </c>
      <c r="F14">
        <v>1.5</v>
      </c>
      <c r="G14">
        <v>4.7</v>
      </c>
      <c r="H14">
        <v>0.6</v>
      </c>
    </row>
    <row r="15" spans="1:9" x14ac:dyDescent="0.2">
      <c r="A15" s="1"/>
      <c r="C15" t="s">
        <v>84</v>
      </c>
      <c r="D15">
        <v>35</v>
      </c>
      <c r="E15">
        <v>0.5</v>
      </c>
      <c r="F15">
        <v>8.5</v>
      </c>
      <c r="G15">
        <v>0</v>
      </c>
      <c r="H15">
        <v>2</v>
      </c>
    </row>
    <row r="16" spans="1:9" ht="17" x14ac:dyDescent="0.2">
      <c r="A16" s="1"/>
      <c r="C16" s="2" t="s">
        <v>62</v>
      </c>
      <c r="D16">
        <v>120</v>
      </c>
      <c r="E16">
        <v>24</v>
      </c>
      <c r="F16">
        <v>3</v>
      </c>
      <c r="G16">
        <v>1.5</v>
      </c>
      <c r="H16">
        <v>0</v>
      </c>
    </row>
    <row r="17" spans="1:8" x14ac:dyDescent="0.2">
      <c r="A17" s="1"/>
      <c r="C17" t="s">
        <v>108</v>
      </c>
      <c r="D17">
        <v>65</v>
      </c>
      <c r="E17">
        <v>1.5</v>
      </c>
      <c r="F17">
        <v>1</v>
      </c>
      <c r="G17">
        <v>7</v>
      </c>
      <c r="H17">
        <v>0.5</v>
      </c>
    </row>
    <row r="18" spans="1:8" x14ac:dyDescent="0.2">
      <c r="A18" s="1"/>
      <c r="C18" s="2"/>
    </row>
    <row r="19" spans="1:8" x14ac:dyDescent="0.2">
      <c r="A19" s="1">
        <v>0.85416666666666663</v>
      </c>
      <c r="B19" t="s">
        <v>6</v>
      </c>
      <c r="C19" t="s">
        <v>20</v>
      </c>
      <c r="D19">
        <v>420</v>
      </c>
      <c r="E19">
        <v>52</v>
      </c>
      <c r="F19">
        <v>0</v>
      </c>
      <c r="G19">
        <v>22</v>
      </c>
      <c r="H19">
        <v>0</v>
      </c>
    </row>
    <row r="20" spans="1:8" x14ac:dyDescent="0.2">
      <c r="C20" t="s">
        <v>71</v>
      </c>
      <c r="D20">
        <v>250</v>
      </c>
      <c r="E20">
        <v>17</v>
      </c>
      <c r="F20">
        <v>46</v>
      </c>
      <c r="G20">
        <v>1</v>
      </c>
      <c r="H20">
        <v>13</v>
      </c>
    </row>
    <row r="21" spans="1:8" ht="17" x14ac:dyDescent="0.2">
      <c r="C21" s="2" t="s">
        <v>74</v>
      </c>
      <c r="D21">
        <v>60</v>
      </c>
      <c r="E21">
        <v>0</v>
      </c>
      <c r="F21">
        <v>0</v>
      </c>
      <c r="G21">
        <v>7</v>
      </c>
      <c r="H21">
        <v>0</v>
      </c>
    </row>
    <row r="22" spans="1:8" x14ac:dyDescent="0.2">
      <c r="C22" s="2"/>
    </row>
    <row r="23" spans="1:8" ht="17" x14ac:dyDescent="0.2">
      <c r="A23" s="1">
        <v>0.91666666666666663</v>
      </c>
      <c r="B23" t="s">
        <v>77</v>
      </c>
      <c r="C23" s="2" t="s">
        <v>51</v>
      </c>
      <c r="D23">
        <v>80</v>
      </c>
      <c r="E23">
        <v>4</v>
      </c>
      <c r="F23">
        <v>6</v>
      </c>
      <c r="G23">
        <v>4</v>
      </c>
      <c r="H23">
        <v>0</v>
      </c>
    </row>
    <row r="24" spans="1:8" x14ac:dyDescent="0.2">
      <c r="A24" s="1"/>
      <c r="C24" s="2"/>
    </row>
    <row r="25" spans="1:8" x14ac:dyDescent="0.2">
      <c r="A25" s="1"/>
      <c r="C25" s="2"/>
    </row>
    <row r="26" spans="1:8" x14ac:dyDescent="0.2">
      <c r="A26" s="1"/>
      <c r="C26" s="2"/>
    </row>
    <row r="27" spans="1:8" x14ac:dyDescent="0.2">
      <c r="A27" s="1"/>
      <c r="C27" s="2"/>
    </row>
    <row r="28" spans="1:8" x14ac:dyDescent="0.2">
      <c r="C28" t="s">
        <v>65</v>
      </c>
      <c r="D28">
        <v>180</v>
      </c>
      <c r="E28">
        <v>4</v>
      </c>
      <c r="F28">
        <v>42</v>
      </c>
      <c r="G28">
        <v>0.2</v>
      </c>
      <c r="H28">
        <v>6</v>
      </c>
    </row>
    <row r="29" spans="1:8" ht="17" x14ac:dyDescent="0.2">
      <c r="C29" s="2" t="s">
        <v>61</v>
      </c>
      <c r="D29">
        <v>110</v>
      </c>
      <c r="E29">
        <v>1.4</v>
      </c>
      <c r="F29">
        <v>6</v>
      </c>
      <c r="G29">
        <v>10.5</v>
      </c>
      <c r="H29">
        <v>4.7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2C7D1-2BF5-4847-82F1-DB8BF34AE9A3}">
  <dimension ref="A1:B9"/>
  <sheetViews>
    <sheetView workbookViewId="0">
      <selection activeCell="A7" sqref="A7"/>
    </sheetView>
  </sheetViews>
  <sheetFormatPr baseColWidth="10" defaultRowHeight="16" x14ac:dyDescent="0.2"/>
  <cols>
    <col min="1" max="1" width="38.83203125" customWidth="1"/>
    <col min="2" max="2" width="25.83203125" customWidth="1"/>
    <col min="3" max="3" width="24.1640625" customWidth="1"/>
  </cols>
  <sheetData>
    <row r="1" spans="1:2" x14ac:dyDescent="0.2">
      <c r="A1" t="s">
        <v>10</v>
      </c>
      <c r="B1" t="s">
        <v>125</v>
      </c>
    </row>
    <row r="2" spans="1:2" x14ac:dyDescent="0.2">
      <c r="A2" t="s">
        <v>109</v>
      </c>
      <c r="B2" t="s">
        <v>113</v>
      </c>
    </row>
    <row r="3" spans="1:2" x14ac:dyDescent="0.2">
      <c r="A3" t="s">
        <v>110</v>
      </c>
      <c r="B3" t="s">
        <v>113</v>
      </c>
    </row>
    <row r="4" spans="1:2" x14ac:dyDescent="0.2">
      <c r="A4" t="s">
        <v>116</v>
      </c>
      <c r="B4" t="s">
        <v>113</v>
      </c>
    </row>
    <row r="5" spans="1:2" x14ac:dyDescent="0.2">
      <c r="A5" t="s">
        <v>111</v>
      </c>
      <c r="B5" t="s">
        <v>115</v>
      </c>
    </row>
    <row r="6" spans="1:2" x14ac:dyDescent="0.2">
      <c r="A6" t="s">
        <v>112</v>
      </c>
      <c r="B6" t="s">
        <v>114</v>
      </c>
    </row>
    <row r="7" spans="1:2" x14ac:dyDescent="0.2">
      <c r="A7" t="s">
        <v>117</v>
      </c>
    </row>
    <row r="9" spans="1:2" x14ac:dyDescent="0.2">
      <c r="A9" t="s">
        <v>118</v>
      </c>
      <c r="B9" t="s">
        <v>119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D2D63-656A-564D-A6BA-96500DE687D7}">
  <dimension ref="A1:F52"/>
  <sheetViews>
    <sheetView workbookViewId="0">
      <selection activeCell="F19" sqref="F19"/>
    </sheetView>
  </sheetViews>
  <sheetFormatPr baseColWidth="10" defaultRowHeight="16" x14ac:dyDescent="0.2"/>
  <cols>
    <col min="1" max="1" width="39" customWidth="1"/>
    <col min="2" max="2" width="22.83203125" customWidth="1"/>
    <col min="3" max="3" width="23" customWidth="1"/>
    <col min="4" max="4" width="20.6640625" customWidth="1"/>
    <col min="5" max="5" width="24" customWidth="1"/>
    <col min="6" max="6" width="22.6640625" customWidth="1"/>
  </cols>
  <sheetData>
    <row r="1" spans="1:6" x14ac:dyDescent="0.2">
      <c r="A1" t="s">
        <v>1</v>
      </c>
      <c r="B1" t="s">
        <v>9</v>
      </c>
      <c r="C1" t="s">
        <v>10</v>
      </c>
      <c r="D1" t="s">
        <v>11</v>
      </c>
      <c r="E1" t="s">
        <v>12</v>
      </c>
      <c r="F1" t="s">
        <v>13</v>
      </c>
    </row>
    <row r="2" spans="1:6" x14ac:dyDescent="0.2">
      <c r="A2" s="5" t="s">
        <v>43</v>
      </c>
      <c r="B2" s="5"/>
      <c r="C2" s="5"/>
      <c r="D2" s="5"/>
      <c r="E2" s="5"/>
      <c r="F2" s="5"/>
    </row>
    <row r="3" spans="1:6" x14ac:dyDescent="0.2">
      <c r="A3" t="s">
        <v>17</v>
      </c>
      <c r="B3" t="s">
        <v>15</v>
      </c>
      <c r="C3">
        <v>8</v>
      </c>
      <c r="D3">
        <v>12</v>
      </c>
      <c r="E3">
        <v>8</v>
      </c>
      <c r="F3">
        <v>0</v>
      </c>
    </row>
    <row r="4" spans="1:6" x14ac:dyDescent="0.2">
      <c r="A4" t="s">
        <v>16</v>
      </c>
      <c r="B4" t="s">
        <v>15</v>
      </c>
      <c r="C4">
        <v>8</v>
      </c>
      <c r="D4">
        <v>12</v>
      </c>
      <c r="E4">
        <v>8</v>
      </c>
      <c r="F4">
        <v>0</v>
      </c>
    </row>
    <row r="5" spans="1:6" x14ac:dyDescent="0.2">
      <c r="A5" t="s">
        <v>38</v>
      </c>
      <c r="B5" t="s">
        <v>39</v>
      </c>
      <c r="C5">
        <v>24</v>
      </c>
      <c r="D5">
        <v>3</v>
      </c>
      <c r="E5">
        <v>1.5</v>
      </c>
      <c r="F5">
        <v>0</v>
      </c>
    </row>
    <row r="7" spans="1:6" x14ac:dyDescent="0.2">
      <c r="A7" s="5" t="s">
        <v>42</v>
      </c>
      <c r="B7" s="5"/>
      <c r="C7" s="5"/>
      <c r="D7" s="5"/>
      <c r="E7" s="5"/>
      <c r="F7" s="5"/>
    </row>
    <row r="8" spans="1:6" x14ac:dyDescent="0.2">
      <c r="A8" t="s">
        <v>37</v>
      </c>
      <c r="B8" t="s">
        <v>18</v>
      </c>
      <c r="C8">
        <v>17</v>
      </c>
      <c r="D8">
        <v>46</v>
      </c>
      <c r="E8">
        <v>1</v>
      </c>
      <c r="F8">
        <v>13</v>
      </c>
    </row>
    <row r="9" spans="1:6" x14ac:dyDescent="0.2">
      <c r="A9" t="s">
        <v>49</v>
      </c>
      <c r="B9" t="s">
        <v>46</v>
      </c>
      <c r="C9">
        <v>18</v>
      </c>
      <c r="D9">
        <v>55</v>
      </c>
      <c r="E9">
        <v>5</v>
      </c>
      <c r="F9">
        <v>15</v>
      </c>
    </row>
    <row r="10" spans="1:6" x14ac:dyDescent="0.2">
      <c r="A10" t="s">
        <v>47</v>
      </c>
      <c r="B10" t="s">
        <v>48</v>
      </c>
      <c r="C10">
        <v>15</v>
      </c>
      <c r="D10">
        <v>41</v>
      </c>
      <c r="E10">
        <v>1</v>
      </c>
      <c r="F10">
        <v>13</v>
      </c>
    </row>
    <row r="11" spans="1:6" x14ac:dyDescent="0.2">
      <c r="A11" t="s">
        <v>50</v>
      </c>
      <c r="B11" t="s">
        <v>70</v>
      </c>
      <c r="C11">
        <v>16</v>
      </c>
      <c r="D11">
        <v>40</v>
      </c>
      <c r="E11">
        <v>1</v>
      </c>
      <c r="F11">
        <v>12</v>
      </c>
    </row>
    <row r="12" spans="1:6" x14ac:dyDescent="0.2">
      <c r="A12" t="s">
        <v>22</v>
      </c>
      <c r="B12" t="s">
        <v>23</v>
      </c>
      <c r="C12">
        <v>2.4</v>
      </c>
      <c r="D12">
        <v>28</v>
      </c>
      <c r="E12">
        <v>0.3</v>
      </c>
      <c r="F12">
        <v>0.3</v>
      </c>
    </row>
    <row r="14" spans="1:6" x14ac:dyDescent="0.2">
      <c r="A14" s="5" t="s">
        <v>40</v>
      </c>
      <c r="B14" s="5"/>
      <c r="C14" s="5"/>
      <c r="D14" s="5"/>
      <c r="E14" s="5"/>
      <c r="F14" s="5"/>
    </row>
    <row r="15" spans="1:6" x14ac:dyDescent="0.2">
      <c r="A15" t="s">
        <v>25</v>
      </c>
      <c r="B15" t="s">
        <v>26</v>
      </c>
      <c r="C15">
        <v>62</v>
      </c>
      <c r="D15">
        <v>0</v>
      </c>
      <c r="E15">
        <v>7.2</v>
      </c>
      <c r="F15">
        <v>0</v>
      </c>
    </row>
    <row r="16" spans="1:6" x14ac:dyDescent="0.2">
      <c r="A16" t="s">
        <v>20</v>
      </c>
      <c r="B16" t="s">
        <v>19</v>
      </c>
      <c r="C16">
        <v>52</v>
      </c>
      <c r="D16">
        <v>0</v>
      </c>
      <c r="E16">
        <v>22</v>
      </c>
      <c r="F16">
        <v>0</v>
      </c>
    </row>
    <row r="17" spans="1:6" x14ac:dyDescent="0.2">
      <c r="A17" t="s">
        <v>21</v>
      </c>
      <c r="B17" t="s">
        <v>24</v>
      </c>
      <c r="C17">
        <v>50</v>
      </c>
      <c r="D17">
        <v>0</v>
      </c>
      <c r="E17">
        <v>46</v>
      </c>
      <c r="F17">
        <v>0</v>
      </c>
    </row>
    <row r="18" spans="1:6" x14ac:dyDescent="0.2">
      <c r="A18" t="s">
        <v>86</v>
      </c>
      <c r="B18" t="s">
        <v>87</v>
      </c>
      <c r="C18">
        <v>55</v>
      </c>
      <c r="D18">
        <v>0</v>
      </c>
      <c r="E18">
        <v>42</v>
      </c>
      <c r="F18">
        <v>0</v>
      </c>
    </row>
    <row r="19" spans="1:6" x14ac:dyDescent="0.2">
      <c r="A19" t="s">
        <v>120</v>
      </c>
      <c r="B19" t="s">
        <v>122</v>
      </c>
      <c r="C19">
        <v>40</v>
      </c>
      <c r="D19">
        <v>0</v>
      </c>
      <c r="E19">
        <v>26</v>
      </c>
      <c r="F19">
        <v>0</v>
      </c>
    </row>
    <row r="20" spans="1:6" x14ac:dyDescent="0.2">
      <c r="A20" t="s">
        <v>121</v>
      </c>
      <c r="B20" t="s">
        <v>123</v>
      </c>
      <c r="C20">
        <v>58</v>
      </c>
      <c r="D20">
        <v>0</v>
      </c>
      <c r="E20">
        <v>2</v>
      </c>
      <c r="F20">
        <v>0</v>
      </c>
    </row>
    <row r="21" spans="1:6" x14ac:dyDescent="0.2">
      <c r="A21" t="s">
        <v>27</v>
      </c>
      <c r="B21" t="s">
        <v>28</v>
      </c>
      <c r="C21">
        <v>6</v>
      </c>
      <c r="D21">
        <v>0.5</v>
      </c>
      <c r="E21">
        <v>5</v>
      </c>
      <c r="F21">
        <v>0</v>
      </c>
    </row>
    <row r="22" spans="1:6" x14ac:dyDescent="0.2">
      <c r="A22" t="s">
        <v>68</v>
      </c>
      <c r="B22" t="s">
        <v>69</v>
      </c>
      <c r="C22">
        <v>3.6</v>
      </c>
      <c r="D22">
        <v>0.3</v>
      </c>
      <c r="E22">
        <v>0</v>
      </c>
      <c r="F22">
        <v>0</v>
      </c>
    </row>
    <row r="24" spans="1:6" x14ac:dyDescent="0.2">
      <c r="A24" s="5" t="s">
        <v>44</v>
      </c>
      <c r="B24" s="5"/>
      <c r="C24" s="5"/>
      <c r="D24" s="5"/>
      <c r="E24" s="5"/>
      <c r="F24" s="5"/>
    </row>
    <row r="25" spans="1:6" x14ac:dyDescent="0.2">
      <c r="A25" t="s">
        <v>106</v>
      </c>
      <c r="B25" t="s">
        <v>39</v>
      </c>
      <c r="C25">
        <v>0</v>
      </c>
      <c r="D25">
        <v>0</v>
      </c>
      <c r="E25">
        <v>14</v>
      </c>
      <c r="F25">
        <v>0</v>
      </c>
    </row>
    <row r="26" spans="1:6" x14ac:dyDescent="0.2">
      <c r="A26" t="s">
        <v>107</v>
      </c>
      <c r="B26" t="s">
        <v>39</v>
      </c>
      <c r="C26">
        <v>0</v>
      </c>
      <c r="D26">
        <v>0</v>
      </c>
      <c r="E26">
        <v>14</v>
      </c>
      <c r="F26">
        <v>0</v>
      </c>
    </row>
    <row r="28" spans="1:6" x14ac:dyDescent="0.2">
      <c r="A28" s="5" t="s">
        <v>45</v>
      </c>
      <c r="B28" s="5"/>
      <c r="C28" s="5"/>
      <c r="D28" s="5"/>
      <c r="E28" s="5"/>
      <c r="F28" s="5"/>
    </row>
    <row r="29" spans="1:6" x14ac:dyDescent="0.2">
      <c r="A29" t="s">
        <v>31</v>
      </c>
      <c r="B29" t="s">
        <v>30</v>
      </c>
      <c r="C29">
        <v>0.5</v>
      </c>
      <c r="D29">
        <v>25</v>
      </c>
      <c r="E29">
        <v>0.3</v>
      </c>
      <c r="F29">
        <v>4.4000000000000004</v>
      </c>
    </row>
    <row r="30" spans="1:6" x14ac:dyDescent="0.2">
      <c r="A30" t="s">
        <v>82</v>
      </c>
      <c r="B30" t="s">
        <v>39</v>
      </c>
      <c r="C30">
        <v>4.5</v>
      </c>
      <c r="D30">
        <v>26</v>
      </c>
      <c r="E30">
        <v>0</v>
      </c>
      <c r="F30">
        <v>10</v>
      </c>
    </row>
    <row r="31" spans="1:6" x14ac:dyDescent="0.2">
      <c r="A31" t="s">
        <v>58</v>
      </c>
      <c r="B31" t="s">
        <v>59</v>
      </c>
      <c r="C31">
        <v>0.7</v>
      </c>
      <c r="D31">
        <v>14.5</v>
      </c>
      <c r="E31">
        <v>0.3</v>
      </c>
      <c r="F31">
        <v>2.4</v>
      </c>
    </row>
    <row r="32" spans="1:6" x14ac:dyDescent="0.2">
      <c r="A32" t="s">
        <v>32</v>
      </c>
      <c r="B32" t="s">
        <v>33</v>
      </c>
      <c r="C32">
        <v>3</v>
      </c>
      <c r="D32">
        <v>12</v>
      </c>
      <c r="E32">
        <v>22</v>
      </c>
      <c r="F32">
        <v>10</v>
      </c>
    </row>
    <row r="33" spans="1:6" x14ac:dyDescent="0.2">
      <c r="A33" t="s">
        <v>55</v>
      </c>
      <c r="B33" t="s">
        <v>56</v>
      </c>
      <c r="C33">
        <v>0</v>
      </c>
      <c r="D33">
        <v>15</v>
      </c>
      <c r="E33">
        <v>0</v>
      </c>
      <c r="F33">
        <v>5</v>
      </c>
    </row>
    <row r="34" spans="1:6" x14ac:dyDescent="0.2">
      <c r="A34" t="s">
        <v>65</v>
      </c>
      <c r="B34" t="s">
        <v>66</v>
      </c>
      <c r="C34">
        <v>4</v>
      </c>
      <c r="D34">
        <v>42</v>
      </c>
      <c r="E34">
        <v>0.2</v>
      </c>
      <c r="F34">
        <v>6</v>
      </c>
    </row>
    <row r="35" spans="1:6" x14ac:dyDescent="0.2">
      <c r="A35" t="s">
        <v>72</v>
      </c>
      <c r="B35" t="s">
        <v>67</v>
      </c>
      <c r="C35">
        <v>3.8</v>
      </c>
      <c r="D35">
        <v>40</v>
      </c>
      <c r="E35">
        <v>0.2</v>
      </c>
      <c r="F35">
        <v>4</v>
      </c>
    </row>
    <row r="36" spans="1:6" x14ac:dyDescent="0.2">
      <c r="A36" t="s">
        <v>73</v>
      </c>
      <c r="B36" t="s">
        <v>36</v>
      </c>
      <c r="C36">
        <v>7.2</v>
      </c>
      <c r="D36">
        <v>8.6</v>
      </c>
      <c r="E36">
        <v>0.8</v>
      </c>
      <c r="F36">
        <v>2.4</v>
      </c>
    </row>
    <row r="39" spans="1:6" x14ac:dyDescent="0.2">
      <c r="A39" s="5" t="s">
        <v>96</v>
      </c>
      <c r="B39" s="5"/>
      <c r="C39" s="5"/>
      <c r="D39" s="5"/>
      <c r="E39" s="5"/>
      <c r="F39" s="5"/>
    </row>
    <row r="42" spans="1:6" x14ac:dyDescent="0.2">
      <c r="A42" t="s">
        <v>29</v>
      </c>
      <c r="B42" t="s">
        <v>36</v>
      </c>
      <c r="C42">
        <v>2</v>
      </c>
      <c r="D42">
        <v>5</v>
      </c>
      <c r="E42">
        <v>4</v>
      </c>
      <c r="F42">
        <v>5</v>
      </c>
    </row>
    <row r="43" spans="1:6" x14ac:dyDescent="0.2">
      <c r="A43" t="s">
        <v>34</v>
      </c>
      <c r="B43" t="s">
        <v>35</v>
      </c>
      <c r="C43">
        <v>3</v>
      </c>
      <c r="D43">
        <v>1.5</v>
      </c>
      <c r="E43">
        <v>4.7</v>
      </c>
      <c r="F43">
        <v>0.6</v>
      </c>
    </row>
    <row r="44" spans="1:6" x14ac:dyDescent="0.2">
      <c r="A44" t="s">
        <v>101</v>
      </c>
      <c r="B44" t="s">
        <v>67</v>
      </c>
      <c r="C44">
        <v>6</v>
      </c>
      <c r="D44">
        <v>6.5</v>
      </c>
      <c r="E44">
        <v>15</v>
      </c>
      <c r="F44">
        <v>3.8</v>
      </c>
    </row>
    <row r="45" spans="1:6" x14ac:dyDescent="0.2">
      <c r="A45" t="s">
        <v>102</v>
      </c>
      <c r="B45" t="s">
        <v>99</v>
      </c>
      <c r="C45">
        <v>4.5</v>
      </c>
      <c r="D45">
        <v>4</v>
      </c>
      <c r="E45">
        <v>20</v>
      </c>
      <c r="F45">
        <v>2</v>
      </c>
    </row>
    <row r="46" spans="1:6" x14ac:dyDescent="0.2">
      <c r="A46" t="s">
        <v>103</v>
      </c>
      <c r="B46" t="s">
        <v>100</v>
      </c>
      <c r="C46">
        <v>6</v>
      </c>
      <c r="D46">
        <v>8</v>
      </c>
      <c r="E46">
        <v>13</v>
      </c>
      <c r="F46">
        <v>3</v>
      </c>
    </row>
    <row r="47" spans="1:6" x14ac:dyDescent="0.2">
      <c r="A47" t="s">
        <v>97</v>
      </c>
      <c r="B47" t="s">
        <v>98</v>
      </c>
      <c r="C47">
        <v>6</v>
      </c>
      <c r="D47">
        <v>18</v>
      </c>
      <c r="E47">
        <v>1.8</v>
      </c>
      <c r="F47">
        <v>5</v>
      </c>
    </row>
    <row r="51" spans="1:6" x14ac:dyDescent="0.2">
      <c r="A51" s="5" t="s">
        <v>80</v>
      </c>
      <c r="B51" s="5"/>
      <c r="C51" s="5"/>
      <c r="D51" s="5"/>
      <c r="E51" s="5"/>
      <c r="F51" s="5"/>
    </row>
    <row r="52" spans="1:6" x14ac:dyDescent="0.2">
      <c r="A52" t="s">
        <v>81</v>
      </c>
      <c r="B52" t="s">
        <v>28</v>
      </c>
      <c r="C52">
        <v>2</v>
      </c>
      <c r="D52">
        <v>14</v>
      </c>
      <c r="E52">
        <v>0.5</v>
      </c>
      <c r="F52">
        <v>2</v>
      </c>
    </row>
  </sheetData>
  <mergeCells count="7">
    <mergeCell ref="A51:F51"/>
    <mergeCell ref="A39:F39"/>
    <mergeCell ref="A14:F14"/>
    <mergeCell ref="A7:F7"/>
    <mergeCell ref="A2:F2"/>
    <mergeCell ref="A24:F24"/>
    <mergeCell ref="A28:F28"/>
  </mergeCells>
  <phoneticPr fontId="2" type="noConversion"/>
  <pageMargins left="0.7" right="0.7" top="0.75" bottom="0.75" header="0.3" footer="0.3"/>
  <pageSetup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FC643-568B-3044-B794-BD00E0B9CDC4}">
  <dimension ref="A1:E5"/>
  <sheetViews>
    <sheetView tabSelected="1" workbookViewId="0">
      <selection activeCell="E4" sqref="E4"/>
    </sheetView>
  </sheetViews>
  <sheetFormatPr baseColWidth="10" defaultRowHeight="16" x14ac:dyDescent="0.2"/>
  <cols>
    <col min="1" max="1" width="31.1640625" customWidth="1"/>
    <col min="2" max="3" width="22.83203125" customWidth="1"/>
    <col min="4" max="4" width="28.33203125" customWidth="1"/>
    <col min="5" max="5" width="29.5" customWidth="1"/>
  </cols>
  <sheetData>
    <row r="1" spans="1:5" x14ac:dyDescent="0.2">
      <c r="B1" s="6">
        <v>46095</v>
      </c>
      <c r="C1" s="6">
        <v>46060</v>
      </c>
      <c r="D1" s="7" t="s">
        <v>134</v>
      </c>
      <c r="E1" s="3" t="s">
        <v>135</v>
      </c>
    </row>
    <row r="2" spans="1:5" x14ac:dyDescent="0.2">
      <c r="A2" s="3" t="s">
        <v>130</v>
      </c>
      <c r="B2">
        <v>173.7</v>
      </c>
      <c r="C2">
        <v>178.4</v>
      </c>
      <c r="E2">
        <v>165</v>
      </c>
    </row>
    <row r="3" spans="1:5" x14ac:dyDescent="0.2">
      <c r="A3" s="3" t="s">
        <v>131</v>
      </c>
      <c r="B3">
        <v>21.5</v>
      </c>
      <c r="C3">
        <v>25.1</v>
      </c>
      <c r="E3" s="8">
        <v>0.1</v>
      </c>
    </row>
    <row r="4" spans="1:5" x14ac:dyDescent="0.2">
      <c r="A4" s="3" t="s">
        <v>132</v>
      </c>
      <c r="B4">
        <v>37.299999999999997</v>
      </c>
      <c r="C4">
        <v>44.8</v>
      </c>
      <c r="D4">
        <f>(B4-C4)</f>
        <v>-7.5</v>
      </c>
      <c r="E4">
        <v>25</v>
      </c>
    </row>
    <row r="5" spans="1:5" x14ac:dyDescent="0.2">
      <c r="A5" s="3" t="s">
        <v>133</v>
      </c>
      <c r="B5">
        <v>136.4</v>
      </c>
      <c r="C5">
        <v>133.6</v>
      </c>
      <c r="D5">
        <f>(B5-C5)</f>
        <v>2.8000000000000114</v>
      </c>
      <c r="E5">
        <v>140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87890-9D95-0849-A56B-CF5840703BA6}">
  <dimension ref="A1:B5"/>
  <sheetViews>
    <sheetView workbookViewId="0">
      <selection activeCell="B3" sqref="B3"/>
    </sheetView>
  </sheetViews>
  <sheetFormatPr baseColWidth="10" defaultRowHeight="16" x14ac:dyDescent="0.2"/>
  <cols>
    <col min="1" max="1" width="65.1640625" customWidth="1"/>
    <col min="2" max="2" width="70" style="2" customWidth="1"/>
  </cols>
  <sheetData>
    <row r="1" spans="1:2" x14ac:dyDescent="0.2">
      <c r="A1" t="s">
        <v>88</v>
      </c>
      <c r="B1" t="s">
        <v>93</v>
      </c>
    </row>
    <row r="3" spans="1:2" ht="108" customHeight="1" x14ac:dyDescent="0.2">
      <c r="A3" t="s">
        <v>89</v>
      </c>
      <c r="B3" s="2" t="s">
        <v>92</v>
      </c>
    </row>
    <row r="4" spans="1:2" ht="34" x14ac:dyDescent="0.2">
      <c r="A4" t="s">
        <v>90</v>
      </c>
      <c r="B4" s="2" t="s">
        <v>91</v>
      </c>
    </row>
    <row r="5" spans="1:2" ht="34" x14ac:dyDescent="0.2">
      <c r="A5" t="s">
        <v>94</v>
      </c>
      <c r="B5" s="2" t="s">
        <v>95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18129-5129-4F45-AE15-835139382106}">
  <dimension ref="A1:B4"/>
  <sheetViews>
    <sheetView workbookViewId="0">
      <selection activeCell="B4" sqref="B4"/>
    </sheetView>
  </sheetViews>
  <sheetFormatPr baseColWidth="10" defaultRowHeight="16" x14ac:dyDescent="0.2"/>
  <cols>
    <col min="2" max="2" width="60.6640625" customWidth="1"/>
  </cols>
  <sheetData>
    <row r="1" spans="1:2" x14ac:dyDescent="0.2">
      <c r="A1">
        <v>1</v>
      </c>
      <c r="B1" t="s">
        <v>126</v>
      </c>
    </row>
    <row r="2" spans="1:2" x14ac:dyDescent="0.2">
      <c r="A2">
        <v>2</v>
      </c>
      <c r="B2" t="s">
        <v>127</v>
      </c>
    </row>
    <row r="3" spans="1:2" x14ac:dyDescent="0.2">
      <c r="A3">
        <v>3</v>
      </c>
      <c r="B3" t="s">
        <v>128</v>
      </c>
    </row>
    <row r="4" spans="1:2" x14ac:dyDescent="0.2">
      <c r="A4">
        <v>4</v>
      </c>
      <c r="B4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Week-1-Daily Diet</vt:lpstr>
      <vt:lpstr>Week-2-Daily Diet</vt:lpstr>
      <vt:lpstr>Week-3-Daily Diet</vt:lpstr>
      <vt:lpstr>Suppliment</vt:lpstr>
      <vt:lpstr>Calculation</vt:lpstr>
      <vt:lpstr>Progress</vt:lpstr>
      <vt:lpstr>Rules</vt:lpstr>
      <vt:lpstr>Reason for not loosing Fat1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Brijesh Luckria</dc:creator>
  <cp:lastModifiedBy>Brijesh Luckria</cp:lastModifiedBy>
  <dcterms:created xsi:type="dcterms:W3CDTF">2026-02-13T02:01:21Z</dcterms:created>
  <dcterms:modified xsi:type="dcterms:W3CDTF">2026-03-16T22:39:28Z</dcterms:modified>
</cp:coreProperties>
</file>